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Up-Data-Assessment-F-main\MapUp-Data-Assessment-F-main\"/>
    </mc:Choice>
  </mc:AlternateContent>
  <xr:revisionPtr revIDLastSave="0" documentId="13_ncr:1_{8A76F1AD-4BB7-4D7A-96A7-E7B59E39EC16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0" i="18" l="1"/>
  <c r="D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E27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F6" i="18"/>
  <c r="E6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  <c r="C22" i="19"/>
  <c r="C21" i="19"/>
  <c r="C19" i="19"/>
  <c r="C15" i="19"/>
  <c r="C13" i="19"/>
  <c r="C23" i="20"/>
</calcChain>
</file>

<file path=xl/sharedStrings.xml><?xml version="1.0" encoding="utf-8"?>
<sst xmlns="http://schemas.openxmlformats.org/spreadsheetml/2006/main" count="414" uniqueCount="185">
  <si>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</si>
  <si>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</si>
  <si>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</si>
  <si>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</si>
  <si>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</si>
  <si>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</si>
  <si>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</si>
  <si>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</si>
  <si>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</si>
  <si>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</si>
  <si>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</si>
  <si>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</si>
  <si>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</si>
  <si>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</si>
  <si>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</si>
  <si>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</si>
  <si>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</si>
  <si>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</si>
  <si>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</si>
  <si>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</si>
  <si>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</si>
  <si>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</si>
  <si>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</si>
  <si>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</si>
  <si>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</si>
  <si>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</si>
  <si>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</si>
  <si>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</si>
  <si>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</si>
  <si>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</si>
  <si>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</si>
  <si>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</si>
  <si>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</si>
  <si>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</si>
  <si>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</si>
  <si>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</si>
  <si>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</si>
  <si>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</si>
  <si>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</si>
  <si>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</si>
  <si>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</si>
  <si>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</si>
  <si>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</si>
  <si>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</si>
  <si>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</si>
  <si>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</si>
  <si>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</si>
  <si>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</si>
  <si>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</si>
  <si>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</si>
  <si>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</si>
  <si>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</si>
  <si>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</si>
  <si>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</si>
  <si>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</si>
  <si>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</si>
  <si>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</si>
  <si>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</si>
  <si>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</si>
  <si>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</si>
  <si>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</si>
  <si>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</si>
  <si>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</si>
  <si>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</si>
  <si>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</si>
  <si>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</si>
  <si>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</si>
  <si>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</si>
  <si>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</si>
  <si>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</si>
  <si>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</si>
  <si>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</si>
  <si>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</si>
  <si>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</si>
  <si>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</si>
  <si>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</si>
  <si>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</si>
  <si>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</si>
  <si>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</si>
  <si>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</si>
  <si>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</si>
  <si>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</si>
  <si>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</si>
  <si>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</si>
  <si>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</si>
  <si>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</si>
  <si>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</si>
  <si>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</si>
  <si>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</si>
  <si>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</si>
  <si>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</si>
  <si>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</si>
  <si>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</si>
  <si>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</si>
  <si>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</si>
  <si>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</si>
  <si>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</si>
  <si>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</si>
  <si>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</si>
  <si>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</si>
  <si>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</si>
  <si>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</si>
  <si>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</si>
  <si>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</si>
  <si>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</si>
  <si>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</si>
  <si>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</si>
  <si>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</si>
  <si>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</si>
  <si>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</si>
  <si>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</si>
  <si>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</si>
  <si>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</si>
  <si>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</si>
  <si>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</si>
  <si>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</si>
  <si>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</si>
  <si>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</si>
  <si>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</si>
  <si>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</si>
  <si>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</si>
  <si>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</si>
  <si>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</si>
  <si>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</si>
  <si>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</si>
  <si>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</si>
  <si>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</si>
  <si>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</si>
  <si>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</si>
  <si>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</si>
  <si>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</si>
  <si>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</si>
  <si>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</si>
  <si>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</si>
  <si>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</si>
  <si>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</si>
  <si>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</si>
  <si>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</si>
  <si>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</si>
  <si>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</si>
  <si>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</si>
  <si>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</si>
  <si>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</si>
  <si>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</si>
  <si>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</si>
  <si>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</si>
  <si>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</si>
  <si>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</si>
  <si>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</si>
  <si>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</si>
  <si>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</si>
  <si>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</si>
  <si>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</si>
  <si>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</si>
  <si>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</si>
  <si>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</si>
  <si>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</si>
  <si>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</si>
  <si>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</si>
  <si>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</si>
  <si>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</si>
  <si>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</si>
  <si>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</si>
  <si>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</si>
  <si>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</si>
  <si>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</si>
  <si>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</si>
  <si>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</si>
  <si>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</si>
  <si>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</si>
  <si>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</si>
  <si>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</si>
  <si>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</si>
  <si>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</si>
  <si>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</si>
  <si>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</si>
  <si>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</si>
  <si>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Running Total</t>
  </si>
  <si>
    <t>Count</t>
  </si>
  <si>
    <t>Column1</t>
  </si>
  <si>
    <t>*=SUMIF(H2:H40,"&gt;20")</t>
  </si>
  <si>
    <t>data-&gt;text to columns</t>
  </si>
  <si>
    <t>select columns-&gt;data-&gt;text to columns-&gt;select delimiter-&gt;next-&gt;select cell-&gt;finish</t>
  </si>
  <si>
    <t>formula=REPLACE(,1,4,20)</t>
  </si>
  <si>
    <t>formula=sum(c12:c21)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</si>
</sst>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3" fillId="0" borderId="1" xfId="0" applyFont="1" applyBorder="1" applyAlignment="1">
      <alignment horizontal="right"/>
    </xf>
    <xf numFmtId="167" fontId="3" fillId="0" borderId="0" xfId="0" applyNumberFormat="1" applyFont="1"/>
    <xf numFmtId="0" fontId="9" fillId="0" borderId="11" xfId="0" applyFont="1" applyBorder="1"/>
    <xf numFmtId="0" fontId="9" fillId="0" borderId="6" xfId="0" applyFont="1" applyBorder="1"/>
    <xf numFmtId="0" fontId="9" fillId="0" borderId="8" xfId="0" applyFont="1" applyBorder="1"/>
    <xf numFmtId="0" fontId="9" fillId="0" borderId="4" xfId="0" applyFont="1" applyBorder="1"/>
    <xf numFmtId="0" fontId="9" fillId="0" borderId="14" xfId="0" applyFont="1" applyBorder="1"/>
    <xf numFmtId="0" fontId="8" fillId="0" borderId="12" xfId="0" applyFont="1" applyBorder="1"/>
    <xf numFmtId="0" fontId="8" fillId="0" borderId="13" xfId="0" applyFont="1" applyBorder="1"/>
    <xf numFmtId="0" fontId="7" fillId="0" borderId="6" xfId="0" applyFont="1" applyBorder="1"/>
    <xf numFmtId="0" fontId="7" fillId="0" borderId="4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2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4" defaultTableStyle="TableStyleMedium2" defaultPivotStyle="PivotStyleLight16">
    <tableStyle name="MySqlDefault" pivot="0" table="0" count="2" xr9:uid="{00000000-0011-0000-FFFF-FFFF00000000}">
      <tableStyleElement type="wholeTable" dxfId="27"/>
      <tableStyleElement type="headerRow" dxfId="26"/>
    </tableStyle>
    <tableStyle name="PivotTable Style 1" table="0" count="0" xr9:uid="{522861FD-C944-43F2-A7A3-84D09C271992}"/>
    <tableStyle name="PivotTable Style 2" table="0" count="0" xr9:uid="{A7C78CD3-35E5-4E3C-829F-364C6B625C56}"/>
    <tableStyle name="PivotTable Style 3" table="0" count="0" xr9:uid="{8DF8C69A-CED2-4F43-A0FE-0530B994101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78D0B5-D71B-4C22-8E1B-5F6DEA7A805A}" name="Table2" displayName="Table2" ref="A9:J18" totalsRowShown="0" headerRowDxfId="5" dataDxfId="6" headerRowBorderDxfId="18" tableBorderDxfId="19" totalsRowBorderDxfId="17">
  <autoFilter ref="A9:J18" xr:uid="{9078D0B5-D71B-4C22-8E1B-5F6DEA7A805A}"/>
  <tableColumns count="10">
    <tableColumn id="1" xr3:uid="{318D06EA-9A5B-4875-A874-65934349F2FB}" name="Column1" dataDxfId="16"/>
    <tableColumn id="2" xr3:uid="{8E1BEFA6-0527-4B5B-AFF5-055C7C1FC0C7}" name="A" dataDxfId="15"/>
    <tableColumn id="3" xr3:uid="{7E0B0CDD-AE12-4E76-8336-61235B868478}" name="B" dataDxfId="14"/>
    <tableColumn id="4" xr3:uid="{D551F915-9D19-4E17-B54C-BF6E4DC940F5}" name="C" dataDxfId="13"/>
    <tableColumn id="5" xr3:uid="{F87EB030-5109-4152-9B2A-3A26D661267C}" name="D" dataDxfId="12"/>
    <tableColumn id="6" xr3:uid="{783A2852-9F7D-4C8D-89C3-5CBCB1435036}" name="E" dataDxfId="11"/>
    <tableColumn id="7" xr3:uid="{6CBD69F9-5DCF-4DF8-B482-CFC01120A07D}" name="F" dataDxfId="10"/>
    <tableColumn id="8" xr3:uid="{2298990A-6412-43EB-AC3D-CEFA5CB47154}" name="G" dataDxfId="9"/>
    <tableColumn id="9" xr3:uid="{D62EAC43-463F-47B3-803C-7EA9748E4579}" name="H" dataDxfId="8"/>
    <tableColumn id="10" xr3:uid="{EC078362-FF91-4D19-9531-60A519D068F6}" name="I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FC960B-F467-4DA8-A996-5460EF9CCCE7}" name="Table3" displayName="Table3" ref="M9:N18" totalsRowShown="0" headerRowDxfId="0" headerRowBorderDxfId="3" tableBorderDxfId="4">
  <autoFilter ref="M9:N18" xr:uid="{CDFC960B-F467-4DA8-A996-5460EF9CCCE7}"/>
  <tableColumns count="2">
    <tableColumn id="1" xr3:uid="{ADC5FC9F-785D-4336-806F-C9EFDCD29DCD}" name="ID" dataDxfId="2"/>
    <tableColumn id="2" xr3:uid="{6390BAF1-1813-4CE5-A812-46695EFFB12E}" name="Nam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40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7" t="s">
        <v>171</v>
      </c>
      <c r="B9" s="26" t="s">
        <v>169</v>
      </c>
    </row>
    <row r="10" spans="1:3" x14ac:dyDescent="0.3">
      <c r="A10" s="36" t="s">
        <v>172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85</v>
      </c>
      <c r="B13" s="38">
        <v>20</v>
      </c>
    </row>
    <row r="14" spans="1:3" x14ac:dyDescent="0.3">
      <c r="A14" s="36" t="s">
        <v>98</v>
      </c>
      <c r="B14" s="38">
        <v>40</v>
      </c>
    </row>
    <row r="15" spans="1:3" x14ac:dyDescent="0.3">
      <c r="A15" s="39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O1" zoomScaleNormal="100" workbookViewId="0">
      <pane ySplit="1" topLeftCell="A18" activePane="bottomLeft" state="frozen"/>
      <selection pane="bottomLeft" activeCell="N2" sqref="N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8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8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8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8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8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8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8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8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8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8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8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8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8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8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8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8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8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8">
        <v>45162</v>
      </c>
    </row>
    <row r="41" spans="1:24" x14ac:dyDescent="0.3">
      <c r="H41" s="1">
        <f>SUMIF(H2:H40,"&gt;20")</f>
        <v>1473.0000000000002</v>
      </c>
    </row>
  </sheetData>
  <conditionalFormatting sqref="A1:A1048576">
    <cfRule type="duplicateValues" dxfId="25" priority="6"/>
  </conditionalFormatting>
  <conditionalFormatting sqref="B1:B1048576">
    <cfRule type="duplicateValues" dxfId="24" priority="5"/>
  </conditionalFormatting>
  <conditionalFormatting sqref="A1">
    <cfRule type="cellIs" dxfId="23" priority="4" operator="equal">
      <formula>-1</formula>
    </cfRule>
  </conditionalFormatting>
  <conditionalFormatting sqref="E1:W40">
    <cfRule type="cellIs" dxfId="20" priority="1" operator="equal">
      <formula>0</formula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68956AD4-B2F4-4985-B281-444D5AF8C0B5}">
            <xm:f>NOT(ISERROR(SEARCH(-1,J2)))</xm:f>
            <xm:f>-1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</xm:sqref>
        </x14:conditionalFormatting>
        <x14:conditionalFormatting xmlns:xm="http://schemas.microsoft.com/office/excel/2006/main">
          <x14:cfRule type="containsText" priority="2" operator="containsText" id="{8D89D1B7-D777-40B2-951C-8DD6DC853218}">
            <xm:f>NOT(ISERROR(SEARCH(-1,A1)))</xm:f>
            <xm:f>-1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A1:X40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5" t="s">
        <v>180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G27" sqref="G27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2" customFormat="1" ht="21" x14ac:dyDescent="0.4">
      <c r="A1" s="43" t="s">
        <v>55</v>
      </c>
      <c r="B1" s="42" t="s">
        <v>164</v>
      </c>
    </row>
    <row r="2" spans="1:7" s="42" customFormat="1" ht="21" x14ac:dyDescent="0.4">
      <c r="B2" s="42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VLOOKUP(A7,Dataset!A2:G41,7,FALSE)</f>
        <v>2.7</v>
      </c>
      <c r="C6" s="12">
        <f>VLOOKUP(A6,Dataset!A1:X40,14,FALSE)</f>
        <v>7.6</v>
      </c>
      <c r="D6" s="12">
        <f>VLOOKUP(A6,Dataset!A1:X40,18,FALSE)</f>
        <v>4.2</v>
      </c>
      <c r="E6" s="12">
        <f>VLOOKUP(A6,Dataset!A1:X40,20,FALSE)</f>
        <v>8.9</v>
      </c>
      <c r="F6" s="8">
        <f>VLOOKUP(A6,Dataset!A1:X40,22,FALSE)</f>
        <v>4.2</v>
      </c>
    </row>
    <row r="7" spans="1:7" ht="14.4" x14ac:dyDescent="0.3">
      <c r="A7" s="7" t="s">
        <v>4</v>
      </c>
      <c r="B7" s="12">
        <f>VLOOKUP(A7,Dataset!A2:G41,7,FALSE)</f>
        <v>2.7</v>
      </c>
      <c r="C7" s="12">
        <f>VLOOKUP(A7,Dataset!A2:X41,14,FALSE)</f>
        <v>7.6</v>
      </c>
      <c r="D7" s="12">
        <f>VLOOKUP(A7,Dataset!A2:X41,18,FALSE)</f>
        <v>4.2</v>
      </c>
      <c r="E7" s="12">
        <f>VLOOKUP(A7,Dataset!A2:X41,20,FALSE)</f>
        <v>8.9</v>
      </c>
      <c r="F7" s="8">
        <f>VLOOKUP(A7,Dataset!A2:X41,22,FALSE)</f>
        <v>4.2</v>
      </c>
    </row>
    <row r="8" spans="1:7" ht="14.4" x14ac:dyDescent="0.3">
      <c r="A8" s="7" t="s">
        <v>7</v>
      </c>
      <c r="B8" s="12">
        <f>VLOOKUP(A8,Dataset!A3:G42,7,FALSE)</f>
        <v>3.6</v>
      </c>
      <c r="C8" s="12">
        <f>VLOOKUP(A8,Dataset!A3:X42,14,FALSE)</f>
        <v>11.1</v>
      </c>
      <c r="D8" s="12">
        <f>VLOOKUP(A8,Dataset!A3:X42,18,FALSE)</f>
        <v>5.8</v>
      </c>
      <c r="E8" s="12">
        <f>VLOOKUP(A8,Dataset!A3:X42,20,FALSE)</f>
        <v>12.2</v>
      </c>
      <c r="F8" s="8">
        <f>VLOOKUP(A8,Dataset!A3:X42,22,FALSE)</f>
        <v>5.8</v>
      </c>
    </row>
    <row r="9" spans="1:7" ht="14.4" x14ac:dyDescent="0.3">
      <c r="A9" s="7" t="s">
        <v>8</v>
      </c>
      <c r="B9" s="12">
        <f>VLOOKUP(A9,Dataset!A4:G43,7,FALSE)</f>
        <v>4.9000000000000004</v>
      </c>
      <c r="C9" s="12">
        <f>VLOOKUP(A9,Dataset!A4:X43,14,FALSE)</f>
        <v>13.3</v>
      </c>
      <c r="D9" s="12">
        <f>VLOOKUP(A9,Dataset!A4:X43,18,FALSE)</f>
        <v>8.1</v>
      </c>
      <c r="E9" s="12">
        <f>VLOOKUP(A9,Dataset!A4:X43,20,FALSE)</f>
        <v>17</v>
      </c>
      <c r="F9" s="8">
        <f>VLOOKUP(A9,Dataset!A4:X43,22,FALSE)</f>
        <v>8.1</v>
      </c>
    </row>
    <row r="10" spans="1:7" ht="14.4" x14ac:dyDescent="0.3">
      <c r="A10" s="7" t="s">
        <v>11</v>
      </c>
      <c r="B10" s="12">
        <f>VLOOKUP(A10,Dataset!A5:G44,7,FALSE)</f>
        <v>9.4</v>
      </c>
      <c r="C10" s="12">
        <f>VLOOKUP(A10,Dataset!A5:X44,14,FALSE)</f>
        <v>28.3</v>
      </c>
      <c r="D10" s="12">
        <f>VLOOKUP(A10,Dataset!A5:X44,18,FALSE)</f>
        <v>16.100000000000001</v>
      </c>
      <c r="E10" s="12">
        <f>VLOOKUP(A10,Dataset!A5:X44,20,FALSE)</f>
        <v>32.799999999999997</v>
      </c>
      <c r="F10" s="8">
        <f>VLOOKUP(A10,Dataset!A5:X44,22,FALSE)</f>
        <v>16.100000000000001</v>
      </c>
    </row>
    <row r="11" spans="1:7" ht="14.4" x14ac:dyDescent="0.3">
      <c r="A11" s="7" t="s">
        <v>12</v>
      </c>
      <c r="B11" s="12">
        <f>VLOOKUP(A11,Dataset!A6:G45,7,FALSE)</f>
        <v>11.6</v>
      </c>
      <c r="C11" s="12">
        <f>VLOOKUP(A11,Dataset!A6:X45,14,FALSE)</f>
        <v>35.200000000000003</v>
      </c>
      <c r="D11" s="12">
        <f>VLOOKUP(A11,Dataset!A6:X45,18,FALSE)</f>
        <v>21.3</v>
      </c>
      <c r="E11" s="12">
        <f>VLOOKUP(A11,Dataset!A6:X45,20,FALSE)</f>
        <v>43</v>
      </c>
      <c r="F11" s="8">
        <f>VLOOKUP(A11,Dataset!A6:X45,22,FALSE)</f>
        <v>21.3</v>
      </c>
    </row>
    <row r="12" spans="1:7" ht="14.4" x14ac:dyDescent="0.3">
      <c r="A12" s="7" t="s">
        <v>14</v>
      </c>
      <c r="B12" s="12">
        <f>VLOOKUP(A12,Dataset!A7:G46,7,FALSE)</f>
        <v>18.399999999999999</v>
      </c>
      <c r="C12" s="12">
        <f>VLOOKUP(A12,Dataset!A7:X46,14,FALSE)</f>
        <v>55.6</v>
      </c>
      <c r="D12" s="12">
        <f>VLOOKUP(A12,Dataset!A7:X46,18,FALSE)</f>
        <v>33.799999999999997</v>
      </c>
      <c r="E12" s="12">
        <f>VLOOKUP(A12,Dataset!A7:X46,20,FALSE)</f>
        <v>67.900000000000006</v>
      </c>
      <c r="F12" s="8">
        <f>VLOOKUP(A12,Dataset!A7:X46,22,FALSE)</f>
        <v>33.799999999999997</v>
      </c>
    </row>
    <row r="13" spans="1:7" ht="14.4" x14ac:dyDescent="0.3">
      <c r="A13" s="7" t="s">
        <v>15</v>
      </c>
      <c r="B13" s="12">
        <f>VLOOKUP(A13,Dataset!A8:G47,7,FALSE)</f>
        <v>0</v>
      </c>
      <c r="C13" s="12">
        <f>VLOOKUP(A13,Dataset!A8:X47,14,FALSE)</f>
        <v>0</v>
      </c>
      <c r="D13" s="12">
        <f>VLOOKUP(A13,Dataset!A8:X47,18,FALSE)</f>
        <v>0</v>
      </c>
      <c r="E13" s="12">
        <f>VLOOKUP(A13,Dataset!A8:X47,20,FALSE)</f>
        <v>0</v>
      </c>
      <c r="F13" s="8">
        <f>VLOOKUP(A13,Dataset!A8:X47,22,FALSE)</f>
        <v>0</v>
      </c>
    </row>
    <row r="14" spans="1:7" ht="14.4" x14ac:dyDescent="0.3">
      <c r="A14" s="7" t="s">
        <v>16</v>
      </c>
      <c r="B14" s="12">
        <f>VLOOKUP(A14,Dataset!A9:G48,7,FALSE)</f>
        <v>21.9</v>
      </c>
      <c r="C14" s="12">
        <f>VLOOKUP(A14,Dataset!A9:X48,14,FALSE)</f>
        <v>61.5</v>
      </c>
      <c r="D14" s="12">
        <f>VLOOKUP(A14,Dataset!A9:X48,18,FALSE)</f>
        <v>40.1</v>
      </c>
      <c r="E14" s="12">
        <f>VLOOKUP(A14,Dataset!A9:X48,20,FALSE)</f>
        <v>76.599999999999994</v>
      </c>
      <c r="F14" s="8">
        <f>VLOOKUP(A14,Dataset!A9:X48,22,FALSE)</f>
        <v>40.1</v>
      </c>
    </row>
    <row r="15" spans="1:7" ht="14.4" x14ac:dyDescent="0.3">
      <c r="A15" s="7" t="s">
        <v>18</v>
      </c>
      <c r="B15" s="12">
        <f>VLOOKUP(A15,Dataset!A10:G49,7,FALSE)</f>
        <v>26.8</v>
      </c>
      <c r="C15" s="12">
        <f>VLOOKUP(A15,Dataset!A10:X49,14,FALSE)</f>
        <v>79.599999999999994</v>
      </c>
      <c r="D15" s="12">
        <f>VLOOKUP(A15,Dataset!A10:X49,18,FALSE)</f>
        <v>47.9</v>
      </c>
      <c r="E15" s="12">
        <f>VLOOKUP(A15,Dataset!A10:X49,20,FALSE)</f>
        <v>96.8</v>
      </c>
      <c r="F15" s="8">
        <f>VLOOKUP(A15,Dataset!A10:X49,22,FALSE)</f>
        <v>47.9</v>
      </c>
    </row>
    <row r="16" spans="1:7" ht="14.4" x14ac:dyDescent="0.3">
      <c r="A16" s="7" t="s">
        <v>20</v>
      </c>
      <c r="B16" s="12">
        <f>VLOOKUP(A16,Dataset!A11:G50,7,FALSE)</f>
        <v>28.5</v>
      </c>
      <c r="C16" s="12">
        <f>VLOOKUP(A16,Dataset!A11:X50,14,FALSE)</f>
        <v>85.4</v>
      </c>
      <c r="D16" s="12">
        <f>VLOOKUP(A16,Dataset!A11:X50,18,FALSE)</f>
        <v>52.3</v>
      </c>
      <c r="E16" s="12">
        <f>VLOOKUP(A16,Dataset!A11:X50,20,FALSE)</f>
        <v>106.1</v>
      </c>
      <c r="F16" s="8">
        <f>VLOOKUP(A16,Dataset!A11:X50,22,FALSE)</f>
        <v>52.3</v>
      </c>
    </row>
    <row r="17" spans="1:6" ht="14.4" x14ac:dyDescent="0.3">
      <c r="A17" s="7" t="s">
        <v>22</v>
      </c>
      <c r="B17" s="12">
        <f>VLOOKUP(A17,Dataset!A12:G51,7,FALSE)</f>
        <v>30.7</v>
      </c>
      <c r="C17" s="12">
        <f>VLOOKUP(A17,Dataset!A12:X51,14,FALSE)</f>
        <v>92.1</v>
      </c>
      <c r="D17" s="12">
        <f>VLOOKUP(A17,Dataset!A12:X51,18,FALSE)</f>
        <v>57</v>
      </c>
      <c r="E17" s="12">
        <f>VLOOKUP(A17,Dataset!A12:X51,20,FALSE)</f>
        <v>115.1</v>
      </c>
      <c r="F17" s="8">
        <f>VLOOKUP(A17,Dataset!A12:X51,22,FALSE)</f>
        <v>57</v>
      </c>
    </row>
    <row r="18" spans="1:6" ht="14.4" x14ac:dyDescent="0.3">
      <c r="A18" s="7" t="s">
        <v>23</v>
      </c>
      <c r="B18" s="12">
        <f>VLOOKUP(A18,Dataset!A13:G52,7,FALSE)</f>
        <v>33.799999999999997</v>
      </c>
      <c r="C18" s="12">
        <f>VLOOKUP(A18,Dataset!A13:X52,14,FALSE)</f>
        <v>101.3</v>
      </c>
      <c r="D18" s="12">
        <f>VLOOKUP(A18,Dataset!A13:X52,18,FALSE)</f>
        <v>61.4</v>
      </c>
      <c r="E18" s="12">
        <f>VLOOKUP(A18,Dataset!A13:X52,20,FALSE)</f>
        <v>124.4</v>
      </c>
      <c r="F18" s="8">
        <f>VLOOKUP(A18,Dataset!A13:X52,22,FALSE)</f>
        <v>61.4</v>
      </c>
    </row>
    <row r="19" spans="1:6" ht="14.4" x14ac:dyDescent="0.3">
      <c r="A19" s="7" t="s">
        <v>24</v>
      </c>
      <c r="B19" s="12">
        <f>VLOOKUP(A19,Dataset!A14:G53,7,FALSE)</f>
        <v>34.700000000000003</v>
      </c>
      <c r="C19" s="12">
        <f>VLOOKUP(A19,Dataset!A14:X53,14,FALSE)</f>
        <v>106.1</v>
      </c>
      <c r="D19" s="12">
        <f>VLOOKUP(A19,Dataset!A14:X53,18,FALSE)</f>
        <v>63.6</v>
      </c>
      <c r="E19" s="12">
        <f>VLOOKUP(A19,Dataset!A14:X53,20,FALSE)</f>
        <v>128.6</v>
      </c>
      <c r="F19" s="8">
        <f>VLOOKUP(A19,Dataset!A14:X53,22,FALSE)</f>
        <v>63.6</v>
      </c>
    </row>
    <row r="20" spans="1:6" ht="14.4" x14ac:dyDescent="0.3">
      <c r="A20" s="7" t="s">
        <v>28</v>
      </c>
      <c r="B20" s="12">
        <f>VLOOKUP(A20,Dataset!A15:G54,7,FALSE)</f>
        <v>0</v>
      </c>
      <c r="C20" s="12">
        <f>VLOOKUP(A20,Dataset!A15:X54,14,FALSE)</f>
        <v>0</v>
      </c>
      <c r="D20" s="12">
        <f>VLOOKUP(A20,Dataset!A15:X54,18,FALSE)</f>
        <v>0</v>
      </c>
      <c r="E20" s="12">
        <f>VLOOKUP(A20,Dataset!A15:X54,20,FALSE)</f>
        <v>0</v>
      </c>
      <c r="F20" s="8">
        <f>VLOOKUP(A20,Dataset!A15:X54,22,FALSE)</f>
        <v>0</v>
      </c>
    </row>
    <row r="21" spans="1:6" ht="14.4" x14ac:dyDescent="0.3">
      <c r="A21" s="7" t="s">
        <v>57</v>
      </c>
      <c r="B21" s="12">
        <f>VLOOKUP(A21,Dataset!A16:G55,7,FALSE)</f>
        <v>41.3</v>
      </c>
      <c r="C21" s="12">
        <f>VLOOKUP(A21,Dataset!A16:X55,14,FALSE)</f>
        <v>124.4</v>
      </c>
      <c r="D21" s="12">
        <f>VLOOKUP(A21,Dataset!A16:X55,18,FALSE)</f>
        <v>75</v>
      </c>
      <c r="E21" s="12">
        <f>VLOOKUP(A21,Dataset!A16:X55,20,FALSE)</f>
        <v>151.5</v>
      </c>
      <c r="F21" s="8">
        <f>VLOOKUP(A21,Dataset!A16:X55,22,FALSE)</f>
        <v>75</v>
      </c>
    </row>
    <row r="22" spans="1:6" ht="14.4" x14ac:dyDescent="0.3">
      <c r="A22" s="7" t="s">
        <v>58</v>
      </c>
      <c r="B22" s="12">
        <f>VLOOKUP(A22,Dataset!A17:G56,7,FALSE)</f>
        <v>-1</v>
      </c>
      <c r="C22" s="12">
        <f>VLOOKUP(A22,Dataset!A17:X56,14,FALSE)</f>
        <v>-1</v>
      </c>
      <c r="D22" s="12">
        <f>VLOOKUP(A22,Dataset!A17:X56,18,FALSE)</f>
        <v>-1</v>
      </c>
      <c r="E22" s="12">
        <f>VLOOKUP(A22,Dataset!A17:X56,20,FALSE)</f>
        <v>-1</v>
      </c>
      <c r="F22" s="8">
        <f>VLOOKUP(A22,Dataset!A17:X56,22,FALSE)</f>
        <v>-1</v>
      </c>
    </row>
    <row r="23" spans="1:6" ht="14.4" x14ac:dyDescent="0.3">
      <c r="A23" s="7" t="s">
        <v>31</v>
      </c>
      <c r="B23" s="12">
        <f>VLOOKUP(A23,Dataset!A18:G57,7,FALSE)</f>
        <v>45</v>
      </c>
      <c r="C23" s="12">
        <f>VLOOKUP(A23,Dataset!A18:X57,14,FALSE)</f>
        <v>133.4</v>
      </c>
      <c r="D23" s="12">
        <f>VLOOKUP(A23,Dataset!A18:X57,18,FALSE)</f>
        <v>79.400000000000006</v>
      </c>
      <c r="E23" s="12">
        <f>VLOOKUP(A23,Dataset!A18:X57,20,FALSE)</f>
        <v>160.9</v>
      </c>
      <c r="F23" s="8">
        <f>VLOOKUP(A23,Dataset!A18:X57,22,FALSE)</f>
        <v>79.400000000000006</v>
      </c>
    </row>
    <row r="24" spans="1:6" ht="14.4" x14ac:dyDescent="0.3">
      <c r="A24" s="7" t="s">
        <v>32</v>
      </c>
      <c r="B24" s="12">
        <f>VLOOKUP(A24,Dataset!A19:G58,7,FALSE)</f>
        <v>-1</v>
      </c>
      <c r="C24" s="12">
        <f>VLOOKUP(A24,Dataset!A19:X58,14,FALSE)</f>
        <v>-1</v>
      </c>
      <c r="D24" s="12">
        <f>VLOOKUP(A24,Dataset!A19:X58,18,FALSE)</f>
        <v>-1</v>
      </c>
      <c r="E24" s="12">
        <f>VLOOKUP(A24,Dataset!A19:X58,20,FALSE)</f>
        <v>-1</v>
      </c>
      <c r="F24" s="8">
        <f>VLOOKUP(A24,Dataset!A19:X58,22,FALSE)</f>
        <v>-1</v>
      </c>
    </row>
    <row r="25" spans="1:6" ht="14.4" x14ac:dyDescent="0.3">
      <c r="A25" s="7" t="s">
        <v>34</v>
      </c>
      <c r="B25" s="12">
        <f>VLOOKUP(A25,Dataset!A20:G59,7,FALSE)</f>
        <v>43.3</v>
      </c>
      <c r="C25" s="12">
        <f>VLOOKUP(A25,Dataset!A20:X59,14,FALSE)</f>
        <v>128.6</v>
      </c>
      <c r="D25" s="12">
        <f>VLOOKUP(A25,Dataset!A20:X59,18,FALSE)</f>
        <v>79.400000000000006</v>
      </c>
      <c r="E25" s="12">
        <f>VLOOKUP(A25,Dataset!A20:X59,20,FALSE)</f>
        <v>160.9</v>
      </c>
      <c r="F25" s="8">
        <f>VLOOKUP(A25,Dataset!A20:X59,22,FALSE)</f>
        <v>79.400000000000006</v>
      </c>
    </row>
    <row r="26" spans="1:6" ht="14.4" x14ac:dyDescent="0.3">
      <c r="A26" s="7" t="s">
        <v>37</v>
      </c>
      <c r="B26" s="12">
        <f>VLOOKUP(A26,Dataset!A21:G60,7,FALSE)</f>
        <v>49.1</v>
      </c>
      <c r="C26" s="12">
        <f>VLOOKUP(A26,Dataset!A21:X60,14,FALSE)</f>
        <v>146.80000000000001</v>
      </c>
      <c r="D26" s="12">
        <f>VLOOKUP(A26,Dataset!A21:X60,18,FALSE)</f>
        <v>90.9</v>
      </c>
      <c r="E26" s="12">
        <f>VLOOKUP(A26,Dataset!A21:X60,20,FALSE)</f>
        <v>183.5</v>
      </c>
      <c r="F26" s="8">
        <f>VLOOKUP(A26,Dataset!A21:X60,22,FALSE)</f>
        <v>90.9</v>
      </c>
    </row>
    <row r="27" spans="1:6" ht="14.4" x14ac:dyDescent="0.3">
      <c r="A27" s="7" t="s">
        <v>39</v>
      </c>
      <c r="B27" s="12">
        <f>VLOOKUP(A27,Dataset!A22:G61,7,FALSE)</f>
        <v>51.8</v>
      </c>
      <c r="C27" s="12">
        <f>VLOOKUP(A27,Dataset!A22:X61,14,FALSE)</f>
        <v>156.4</v>
      </c>
      <c r="D27" s="12">
        <f>VLOOKUP(A27,Dataset!A22:X61,18,FALSE)</f>
        <v>93.1</v>
      </c>
      <c r="E27" s="12">
        <f>VLOOKUP(A27,Dataset!A22:X61,20,FALSE)</f>
        <v>188.1</v>
      </c>
      <c r="F27" s="8">
        <f>VLOOKUP(A27,Dataset!A22:X61,22,FALSE)</f>
        <v>93.1</v>
      </c>
    </row>
    <row r="28" spans="1:6" ht="14.4" x14ac:dyDescent="0.3">
      <c r="A28" s="19" t="s">
        <v>82</v>
      </c>
      <c r="B28" s="32">
        <f>MIN(B6:B27)</f>
        <v>-1</v>
      </c>
      <c r="C28" s="32">
        <f t="shared" ref="C28:F28" si="0">MIN(C6:C27)</f>
        <v>-1</v>
      </c>
      <c r="D28" s="32">
        <f t="shared" si="0"/>
        <v>-1</v>
      </c>
      <c r="E28" s="32">
        <f t="shared" si="0"/>
        <v>-1</v>
      </c>
      <c r="F28" s="32">
        <f t="shared" si="0"/>
        <v>-1</v>
      </c>
    </row>
    <row r="29" spans="1:6" ht="14.4" x14ac:dyDescent="0.3">
      <c r="A29" s="19" t="s">
        <v>83</v>
      </c>
      <c r="B29" s="32">
        <f>MAX(B6:B27)</f>
        <v>51.8</v>
      </c>
      <c r="C29" s="32">
        <f t="shared" ref="C29:F29" si="1">MAX(C6:C27)</f>
        <v>156.4</v>
      </c>
      <c r="D29" s="32">
        <f t="shared" si="1"/>
        <v>93.1</v>
      </c>
      <c r="E29" s="32">
        <f t="shared" si="1"/>
        <v>188.1</v>
      </c>
      <c r="F29" s="32">
        <f t="shared" si="1"/>
        <v>93.1</v>
      </c>
    </row>
    <row r="30" spans="1:6" ht="14.4" x14ac:dyDescent="0.3">
      <c r="A30" s="19" t="s">
        <v>84</v>
      </c>
      <c r="B30" s="32">
        <f>AVERAGE(B6:B27)</f>
        <v>20.827272727272728</v>
      </c>
      <c r="C30" s="32">
        <f t="shared" ref="C30:F30" si="2">AVERAGE(C6:C27)</f>
        <v>62.377272727272725</v>
      </c>
      <c r="D30" s="32">
        <f t="shared" si="2"/>
        <v>37.800000000000004</v>
      </c>
      <c r="E30" s="32">
        <f t="shared" si="2"/>
        <v>76.418181818181822</v>
      </c>
      <c r="F30" s="32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" zoomScaleNormal="100" workbookViewId="0">
      <selection activeCell="H9" sqref="H9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2" customFormat="1" ht="21" x14ac:dyDescent="0.4">
      <c r="A1" s="43" t="s">
        <v>56</v>
      </c>
      <c r="B1" s="42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4" t="s">
        <v>53</v>
      </c>
      <c r="B5" s="41" t="s">
        <v>181</v>
      </c>
    </row>
    <row r="6" spans="1:10" ht="18" x14ac:dyDescent="0.35">
      <c r="A6" s="44" t="s">
        <v>153</v>
      </c>
      <c r="B6" s="41" t="s">
        <v>182</v>
      </c>
    </row>
    <row r="7" spans="1:10" ht="18" x14ac:dyDescent="0.35">
      <c r="A7" s="44"/>
      <c r="B7" s="41"/>
    </row>
    <row r="9" spans="1:10" ht="23.4" x14ac:dyDescent="0.45">
      <c r="A9" s="18" t="s">
        <v>165</v>
      </c>
      <c r="I9" s="2"/>
      <c r="J9" s="2"/>
    </row>
    <row r="10" spans="1:10" x14ac:dyDescent="0.3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E15" sqref="E15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3" t="s">
        <v>85</v>
      </c>
      <c r="B1" s="42" t="s">
        <v>167</v>
      </c>
    </row>
    <row r="2" spans="1:3" ht="18" x14ac:dyDescent="0.35">
      <c r="B2" s="41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183</v>
      </c>
      <c r="C6" s="2" t="s">
        <v>184</v>
      </c>
    </row>
    <row r="7" spans="1:3" ht="14.4" x14ac:dyDescent="0.3">
      <c r="A7" s="3" t="s">
        <v>153</v>
      </c>
      <c r="B7" s="1"/>
    </row>
    <row r="10" spans="1:3" ht="23.4" x14ac:dyDescent="0.45">
      <c r="A10" s="18" t="s">
        <v>162</v>
      </c>
    </row>
    <row r="11" spans="1:3" ht="14.4" x14ac:dyDescent="0.3">
      <c r="A11" s="33" t="s">
        <v>86</v>
      </c>
      <c r="B11" s="17" t="s">
        <v>87</v>
      </c>
      <c r="C11" s="17" t="s">
        <v>88</v>
      </c>
    </row>
    <row r="12" spans="1:3" ht="14.4" x14ac:dyDescent="0.3">
      <c r="A12" s="33">
        <v>44927</v>
      </c>
      <c r="B12" s="17" t="s">
        <v>59</v>
      </c>
      <c r="C12" s="47">
        <v>200</v>
      </c>
    </row>
    <row r="13" spans="1:3" ht="14.4" x14ac:dyDescent="0.3">
      <c r="A13" s="33">
        <v>44928</v>
      </c>
      <c r="B13" s="17" t="s">
        <v>60</v>
      </c>
      <c r="C13" s="47" t="str">
        <f>REPLACE(,1,4,20)</f>
        <v>20</v>
      </c>
    </row>
    <row r="14" spans="1:3" ht="14.4" x14ac:dyDescent="0.3">
      <c r="A14" s="33">
        <v>44929</v>
      </c>
      <c r="B14" s="17" t="s">
        <v>61</v>
      </c>
      <c r="C14" s="47">
        <v>50</v>
      </c>
    </row>
    <row r="15" spans="1:3" ht="14.4" x14ac:dyDescent="0.3">
      <c r="A15" s="33">
        <v>44930</v>
      </c>
      <c r="B15" s="17" t="s">
        <v>62</v>
      </c>
      <c r="C15" s="47" t="str">
        <f>REPLACE(,1,4,20)</f>
        <v>20</v>
      </c>
    </row>
    <row r="16" spans="1:3" ht="14.4" x14ac:dyDescent="0.3">
      <c r="A16" s="33">
        <v>44931</v>
      </c>
      <c r="B16" s="17" t="s">
        <v>63</v>
      </c>
      <c r="C16" s="47">
        <v>10</v>
      </c>
    </row>
    <row r="17" spans="1:3" ht="14.4" x14ac:dyDescent="0.3">
      <c r="A17" s="33">
        <v>44932</v>
      </c>
      <c r="B17" s="17" t="s">
        <v>154</v>
      </c>
      <c r="C17" s="47">
        <v>150</v>
      </c>
    </row>
    <row r="18" spans="1:3" ht="14.4" x14ac:dyDescent="0.3">
      <c r="A18" s="33">
        <v>44933</v>
      </c>
      <c r="B18" s="17" t="s">
        <v>155</v>
      </c>
      <c r="C18" s="47">
        <v>80</v>
      </c>
    </row>
    <row r="19" spans="1:3" ht="14.4" x14ac:dyDescent="0.3">
      <c r="A19" s="33">
        <v>44934</v>
      </c>
      <c r="B19" s="17" t="s">
        <v>156</v>
      </c>
      <c r="C19" s="47" t="str">
        <f>REPLACE(,1,4,20)</f>
        <v>20</v>
      </c>
    </row>
    <row r="20" spans="1:3" ht="14.4" x14ac:dyDescent="0.3">
      <c r="A20" s="33">
        <v>44935</v>
      </c>
      <c r="B20" s="17" t="s">
        <v>157</v>
      </c>
      <c r="C20" s="47">
        <v>30</v>
      </c>
    </row>
    <row r="21" spans="1:3" ht="14.4" x14ac:dyDescent="0.3">
      <c r="A21" s="33">
        <v>44936</v>
      </c>
      <c r="B21" s="17" t="s">
        <v>158</v>
      </c>
      <c r="C21" s="47" t="str">
        <f>REPLACE(,1,4,20)</f>
        <v>20</v>
      </c>
    </row>
    <row r="22" spans="1:3" ht="14.4" x14ac:dyDescent="0.3">
      <c r="B22" s="17" t="s">
        <v>159</v>
      </c>
      <c r="C22" s="25">
        <f>SUM(C12:C21)</f>
        <v>520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="78" zoomScaleNormal="55" workbookViewId="0">
      <selection activeCell="L16" sqref="L16"/>
    </sheetView>
  </sheetViews>
  <sheetFormatPr defaultColWidth="11" defaultRowHeight="13.8" x14ac:dyDescent="0.3"/>
  <cols>
    <col min="1" max="1" width="28.21875" style="2" bestFit="1" customWidth="1"/>
    <col min="2" max="12" width="11" style="2"/>
    <col min="13" max="14" width="11" style="2" customWidth="1"/>
    <col min="15" max="16384" width="11" style="2"/>
  </cols>
  <sheetData>
    <row r="1" spans="1:14" ht="21" x14ac:dyDescent="0.4">
      <c r="A1" s="43" t="s">
        <v>98</v>
      </c>
      <c r="B1" s="42" t="s">
        <v>175</v>
      </c>
    </row>
    <row r="3" spans="1:14" ht="14.4" x14ac:dyDescent="0.3">
      <c r="B3" s="1" t="s">
        <v>151</v>
      </c>
    </row>
    <row r="4" spans="1:14" ht="18" x14ac:dyDescent="0.35">
      <c r="A4" s="44" t="s">
        <v>53</v>
      </c>
      <c r="B4" s="1"/>
    </row>
    <row r="5" spans="1:14" ht="18" x14ac:dyDescent="0.35">
      <c r="A5" s="44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50" t="s">
        <v>179</v>
      </c>
      <c r="B9" s="51" t="s">
        <v>89</v>
      </c>
      <c r="C9" s="51" t="s">
        <v>90</v>
      </c>
      <c r="D9" s="51" t="s">
        <v>91</v>
      </c>
      <c r="E9" s="51" t="s">
        <v>92</v>
      </c>
      <c r="F9" s="51" t="s">
        <v>93</v>
      </c>
      <c r="G9" s="51" t="s">
        <v>94</v>
      </c>
      <c r="H9" s="51" t="s">
        <v>95</v>
      </c>
      <c r="I9" s="51" t="s">
        <v>96</v>
      </c>
      <c r="J9" s="52" t="s">
        <v>97</v>
      </c>
      <c r="M9" s="56" t="s">
        <v>43</v>
      </c>
      <c r="N9" s="57" t="s">
        <v>99</v>
      </c>
    </row>
    <row r="10" spans="1:14" ht="14.4" x14ac:dyDescent="0.3">
      <c r="A10" s="49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39">
        <v>525</v>
      </c>
      <c r="M10" s="8">
        <v>10100</v>
      </c>
      <c r="N10" s="7" t="s">
        <v>89</v>
      </c>
    </row>
    <row r="11" spans="1:14" ht="14.4" x14ac:dyDescent="0.3">
      <c r="A11" s="49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39">
        <v>430</v>
      </c>
      <c r="M11" s="8">
        <v>10102</v>
      </c>
      <c r="N11" s="7" t="s">
        <v>90</v>
      </c>
    </row>
    <row r="12" spans="1:14" ht="14.4" x14ac:dyDescent="0.3">
      <c r="A12" s="49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39">
        <v>400</v>
      </c>
      <c r="M12" s="8">
        <v>10104</v>
      </c>
      <c r="N12" s="7" t="s">
        <v>91</v>
      </c>
    </row>
    <row r="13" spans="1:14" ht="14.4" x14ac:dyDescent="0.3">
      <c r="A13" s="49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39">
        <v>340</v>
      </c>
      <c r="M13" s="8">
        <v>10106</v>
      </c>
      <c r="N13" s="7" t="s">
        <v>92</v>
      </c>
    </row>
    <row r="14" spans="1:14" ht="14.4" x14ac:dyDescent="0.3">
      <c r="A14" s="49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39">
        <v>270</v>
      </c>
      <c r="M14" s="8">
        <v>10108</v>
      </c>
      <c r="N14" s="7" t="s">
        <v>93</v>
      </c>
    </row>
    <row r="15" spans="1:14" ht="14.4" x14ac:dyDescent="0.3">
      <c r="A15" s="49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39">
        <v>220</v>
      </c>
      <c r="M15" s="8">
        <v>10110</v>
      </c>
      <c r="N15" s="7" t="s">
        <v>94</v>
      </c>
    </row>
    <row r="16" spans="1:14" ht="14.4" x14ac:dyDescent="0.3">
      <c r="A16" s="49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39">
        <v>105</v>
      </c>
      <c r="M16" s="8">
        <v>10112</v>
      </c>
      <c r="N16" s="7" t="s">
        <v>95</v>
      </c>
    </row>
    <row r="17" spans="1:14" ht="14.4" x14ac:dyDescent="0.3">
      <c r="A17" s="49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39">
        <v>40</v>
      </c>
      <c r="M17" s="8">
        <v>10114</v>
      </c>
      <c r="N17" s="7" t="s">
        <v>96</v>
      </c>
    </row>
    <row r="18" spans="1:14" ht="14.4" x14ac:dyDescent="0.3">
      <c r="A18" s="53" t="s">
        <v>97</v>
      </c>
      <c r="B18" s="54">
        <v>525</v>
      </c>
      <c r="C18" s="54">
        <v>430</v>
      </c>
      <c r="D18" s="54">
        <v>400</v>
      </c>
      <c r="E18" s="54">
        <v>340</v>
      </c>
      <c r="F18" s="54">
        <v>270</v>
      </c>
      <c r="G18" s="54">
        <v>220</v>
      </c>
      <c r="H18" s="54">
        <v>105</v>
      </c>
      <c r="I18" s="54">
        <v>40</v>
      </c>
      <c r="J18" s="55">
        <v>-1</v>
      </c>
      <c r="M18" s="8">
        <v>10116</v>
      </c>
      <c r="N18" s="7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5">
        <f ca="1">LOOKUP(A23,M10:N10,C23)</f>
        <v>0</v>
      </c>
    </row>
    <row r="24" spans="1:14" ht="14.4" x14ac:dyDescent="0.3">
      <c r="A24" s="7">
        <v>10100</v>
      </c>
      <c r="B24" s="12">
        <v>10104</v>
      </c>
      <c r="C24" s="45"/>
    </row>
    <row r="25" spans="1:14" ht="14.4" x14ac:dyDescent="0.3">
      <c r="A25" s="7">
        <v>10108</v>
      </c>
      <c r="B25" s="12">
        <v>10102</v>
      </c>
      <c r="C25" s="45"/>
    </row>
    <row r="26" spans="1:14" ht="14.4" x14ac:dyDescent="0.3">
      <c r="A26" s="7">
        <v>10100</v>
      </c>
      <c r="B26" s="12">
        <v>10106</v>
      </c>
      <c r="C26" s="45"/>
    </row>
    <row r="27" spans="1:14" ht="14.4" x14ac:dyDescent="0.3">
      <c r="A27" s="7">
        <v>10108</v>
      </c>
      <c r="B27" s="12">
        <v>10110</v>
      </c>
      <c r="C27" s="45"/>
    </row>
    <row r="28" spans="1:14" ht="14.4" x14ac:dyDescent="0.3">
      <c r="A28" s="7">
        <v>10102</v>
      </c>
      <c r="B28" s="12">
        <v>10104</v>
      </c>
      <c r="C28" s="45"/>
    </row>
    <row r="29" spans="1:14" ht="14.4" x14ac:dyDescent="0.3">
      <c r="A29" s="7">
        <v>10106</v>
      </c>
      <c r="B29" s="12">
        <v>10108</v>
      </c>
      <c r="C29" s="45"/>
    </row>
    <row r="30" spans="1:14" ht="14.4" x14ac:dyDescent="0.3">
      <c r="A30" s="7">
        <v>10102</v>
      </c>
      <c r="B30" s="12">
        <v>10106</v>
      </c>
      <c r="C30" s="45"/>
    </row>
    <row r="31" spans="1:14" ht="14.4" x14ac:dyDescent="0.3">
      <c r="A31" s="7">
        <v>10110</v>
      </c>
      <c r="B31" s="12">
        <v>10114</v>
      </c>
      <c r="C31" s="45"/>
    </row>
    <row r="32" spans="1:14" ht="14.4" x14ac:dyDescent="0.3">
      <c r="A32" s="7">
        <v>10104</v>
      </c>
      <c r="B32" s="12">
        <v>10106</v>
      </c>
      <c r="C32" s="45"/>
    </row>
    <row r="33" spans="1:3" ht="14.4" x14ac:dyDescent="0.3">
      <c r="A33" s="7">
        <v>10110</v>
      </c>
      <c r="B33" s="12">
        <v>10112</v>
      </c>
      <c r="C33" s="45"/>
    </row>
    <row r="34" spans="1:3" ht="14.4" x14ac:dyDescent="0.3">
      <c r="A34" s="7">
        <v>10100</v>
      </c>
      <c r="B34" s="12">
        <v>10114</v>
      </c>
      <c r="C34" s="45"/>
    </row>
    <row r="35" spans="1:3" ht="14.4" x14ac:dyDescent="0.3">
      <c r="A35" s="9">
        <v>10112</v>
      </c>
      <c r="B35" s="13">
        <v>10116</v>
      </c>
      <c r="C35" s="46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87A5F1D-7D0D-456E-9887-6B20965E5B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Pavitras</cp:lastModifiedBy>
  <dcterms:created xsi:type="dcterms:W3CDTF">2015-02-10T17:33:11Z</dcterms:created>
  <dcterms:modified xsi:type="dcterms:W3CDTF">2023-12-10T15:10:33Z</dcterms:modified>
</cp:coreProperties>
</file>